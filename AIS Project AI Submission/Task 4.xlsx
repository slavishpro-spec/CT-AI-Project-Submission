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<sst xmlns="http://schemas.openxmlformats.org/spreadsheetml/2006/main">
  <si>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Expense ID</t>
  </si>
  <si>
    <t>Expense Item</t>
  </si>
  <si>
    <t>Category</t>
  </si>
  <si>
    <t>Unit Cost (₹)</t>
  </si>
  <si>
    <t>Quantity</t>
  </si>
  <si>
    <t>Total Cost (₹)</t>
  </si>
  <si>
    <t>Status</t>
  </si>
  <si>
    <t>E001</t>
  </si>
  <si>
    <t>HD Webcams</t>
  </si>
  <si>
    <t>Hardware</t>
  </si>
  <si>
    <t>Approved</t>
  </si>
  <si>
    <t>E002</t>
  </si>
  <si>
    <t>RFID Scanners</t>
  </si>
  <si>
    <t>E003</t>
  </si>
  <si>
    <t>Cloud Server Hosting</t>
  </si>
  <si>
    <t>Software</t>
  </si>
  <si>
    <t>E004</t>
  </si>
  <si>
    <t>OCR Software License</t>
  </si>
  <si>
    <t>Pending</t>
  </si>
  <si>
    <t>E005</t>
  </si>
  <si>
    <t>Developer Honorarium</t>
  </si>
  <si>
    <t>Personnel</t>
  </si>
  <si>
    <t>E006</t>
  </si>
  <si>
    <t>Librarian Training</t>
  </si>
  <si>
    <t>E007</t>
  </si>
  <si>
    <t>High-Speed Router</t>
  </si>
  <si>
    <t>E008</t>
  </si>
  <si>
    <t>Smart Cards</t>
  </si>
  <si>
    <t>Supplies</t>
  </si>
  <si>
    <t>E009</t>
  </si>
  <si>
    <t>Display Screen</t>
  </si>
  <si>
    <t>E010</t>
  </si>
  <si>
    <t>Poster Printing</t>
  </si>
  <si>
    <t>Promotion</t>
  </si>
  <si>
    <t>E011</t>
  </si>
  <si>
    <t>Promotional Flyers</t>
  </si>
  <si>
    <t>E012</t>
  </si>
  <si>
    <t>Backup Hard Drive</t>
  </si>
  <si>
    <t>Aprovedd</t>
  </si>
  <si>
    <t>Total Budget:</t>
  </si>
  <si>
    <t xml:space="preserve">Average Expense </t>
  </si>
  <si>
    <t>Total Budget</t>
  </si>
  <si>
    <t xml:space="preserve">Highest Expense </t>
  </si>
  <si>
    <t xml:space="preserve">Lowest Expense </t>
  </si>
  <si>
    <t xml:space="preserve">Conditional Expense Alert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</si>
</sst>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9"/>
      <name val="Segoe UI"/>
      <color rgb="FF000000"/>
    </font>
    <font>
      <b/>
      <sz val="9"/>
      <name val="Segoe UI"/>
      <color rgb="FF000000"/>
      <family val="2"/>
    </font>
    <font>
      <sz val="9"/>
      <name val="Segoe UI"/>
      <color rgb="FF000000"/>
      <family val="2"/>
    </font>
    <font>
      <b/>
      <sz val="9"/>
      <name val="Segoe UI"/>
      <color rgb="FF000000"/>
      <family val="2"/>
    </font>
    <font>
      <sz val="9"/>
      <name val="Segoe UI"/>
      <color rgb="FF000000"/>
      <family val="2"/>
    </font>
    <font>
      <b/>
      <sz val="11"/>
      <name val="Calibri"/>
      <color theme="1"/>
      <family val="2"/>
    </font>
    <font>
      <sz val="9"/>
      <name val="Segoe UI"/>
      <color rgb="FF000000"/>
      <u val="single"/>
      <family val="2"/>
    </font>
    <font>
      <b/>
      <sz val="9"/>
      <name val="Segoe UI"/>
      <color rgb="FF000000"/>
      <u val="single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none">
        <color rgb="FF000000"/>
      </right>
      <top style="medium">
        <color rgb="FFC4C7C5"/>
      </top>
      <bottom style="none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none">
        <color rgb="FF000000"/>
      </right>
      <top style="medium">
        <color rgb="FFC4C7C5"/>
      </top>
      <bottom style="medium">
        <color rgb="FFC4C7C5"/>
      </bottom>
      <diagonal style="none">
        <color rgb="FF000000"/>
      </diagonal>
    </border>
    <border diagonalDown="false" diagonalUp="false">
      <left style="medium">
        <color rgb="FFC4C7C5"/>
      </left>
      <right style="none">
        <color rgb="FF000000"/>
      </right>
      <top style="medium">
        <color rgb="FFC4C7C5"/>
      </top>
      <bottom style="medium">
        <color rgb="FFC4C7C5"/>
      </bottom>
      <diagonal style="none">
        <color rgb="FF000000"/>
      </diagonal>
    </border>
    <border diagonalDown="false" diagonalUp="false"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 style="none">
        <color rgb="FF000000"/>
      </diagonal>
    </border>
    <border>
      <top style="medium">
        <color rgb="FFC4C7C5"/>
      </top>
    </border>
    <border>
      <top style="medium">
        <color rgb="FFC4C7C5"/>
      </top>
      <bottom style="medium">
        <color rgb="FFC4C7C5"/>
      </bottom>
    </border>
    <border>
      <left style="medium">
        <color rgb="FFC4C7C5"/>
      </left>
      <top style="medium">
        <color rgb="FFC4C7C5"/>
      </top>
      <bottom style="medium">
        <color rgb="FFC4C7C5"/>
      </bottom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</border>
    <border diagonalDown="false"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applyNumberFormat="1" fontId="2" applyFont="1" fillId="0" applyFill="1" borderId="1" applyBorder="1" applyAlignment="1" xfId="0">
      <alignment vertical="top"/>
    </xf>
    <xf numFmtId="0" applyNumberFormat="1" fontId="2" applyFont="1" fillId="0" applyFill="1" borderId="2" applyBorder="1" applyAlignment="1" xfId="0">
      <alignment vertical="top"/>
    </xf>
    <xf numFmtId="0" applyNumberFormat="1" fontId="2" applyFont="1" fillId="0" applyFill="1" borderId="3" applyBorder="1" applyAlignment="1" xfId="0">
      <alignment vertical="top"/>
    </xf>
    <xf numFmtId="0" applyNumberFormat="1" fontId="2" applyFont="1" fillId="0" applyFill="1" borderId="4" applyBorder="1" applyAlignment="1" xfId="0">
      <alignment vertical="top"/>
    </xf>
    <xf numFmtId="0" applyNumberFormat="1" fontId="2" applyFont="1" fillId="0" applyFill="1" borderId="5" applyBorder="1" applyAlignment="1" xfId="0">
      <alignment vertical="top"/>
    </xf>
    <xf numFmtId="0" applyNumberFormat="1" fontId="3" applyFont="1" fillId="0" applyFill="1" borderId="1" applyBorder="1" applyAlignment="1" xfId="0">
      <alignment vertical="top"/>
    </xf>
    <xf numFmtId="0" applyNumberFormat="1" fontId="3" applyFont="1" fillId="0" applyFill="1" borderId="2" applyBorder="1" applyAlignment="1" xfId="0">
      <alignment vertical="top"/>
    </xf>
    <xf numFmtId="0" applyNumberFormat="1" fontId="3" applyFont="1" fillId="0" applyFill="1" borderId="3" applyBorder="1" applyAlignment="1" xfId="0">
      <alignment vertical="top"/>
    </xf>
    <xf numFmtId="0" applyNumberFormat="1" fontId="3" applyFont="1" fillId="0" applyFill="1" borderId="4" applyBorder="1" applyAlignment="1" xfId="0">
      <alignment vertical="top"/>
    </xf>
    <xf numFmtId="0" applyNumberFormat="1" fontId="3" applyFont="1" fillId="0" applyFill="1" borderId="5" applyBorder="1" applyAlignment="1" xfId="0">
      <alignment vertical="top"/>
    </xf>
    <xf numFmtId="0" applyNumberFormat="1" fontId="4" applyFont="1" fillId="0" applyFill="1" applyAlignment="1" xfId="0">
      <alignment vertical="top"/>
    </xf>
    <xf numFmtId="0" applyNumberFormat="1" fontId="4" applyFont="1" fillId="0" applyFill="1" borderId="6" applyBorder="1" applyAlignment="1" xfId="0">
      <alignment vertical="top"/>
    </xf>
    <xf numFmtId="0" applyNumberFormat="1" fontId="4" applyFont="1" fillId="0" applyFill="1" borderId="7" applyBorder="1" applyAlignment="1" xfId="0">
      <alignment vertical="top"/>
    </xf>
    <xf numFmtId="0" applyNumberFormat="1" fontId="4" applyFont="1" fillId="0" applyFill="1" borderId="8" applyBorder="1" applyAlignment="1" xfId="0">
      <alignment vertical="top"/>
    </xf>
    <xf numFmtId="0" applyNumberFormat="1" fontId="4" applyFont="1" fillId="0" applyFill="1" borderId="9" applyBorder="1" applyAlignment="1" xfId="0">
      <alignment vertical="top"/>
    </xf>
    <xf numFmtId="0" applyNumberFormat="1" fontId="4" applyFont="1" fillId="0" applyFill="1" borderId="10" applyBorder="1" applyAlignment="1" xfId="0">
      <alignment vertical="top"/>
    </xf>
    <xf numFmtId="0" applyNumberFormat="1" fontId="4" applyFont="1" fillId="0" applyFill="1" borderId="5" applyBorder="1" applyAlignment="1" xfId="0">
      <alignment vertical="top"/>
    </xf>
    <xf numFmtId="0" applyNumberFormat="1" fontId="5" applyFont="1" fillId="0" applyFill="1" applyAlignment="1" xfId="0">
      <alignment vertical="top"/>
    </xf>
    <xf numFmtId="0" applyNumberFormat="1" fontId="5" applyFont="1" fillId="0" applyFill="1" borderId="6" applyBorder="1" applyAlignment="1" xfId="0">
      <alignment vertical="top"/>
    </xf>
    <xf numFmtId="0" applyNumberFormat="1" fontId="5" applyFont="1" fillId="0" applyFill="1" borderId="7" applyBorder="1" applyAlignment="1" xfId="0">
      <alignment vertical="top"/>
    </xf>
    <xf numFmtId="0" applyNumberFormat="1" fontId="5" applyFont="1" fillId="0" applyFill="1" borderId="8" applyBorder="1" applyAlignment="1" xfId="0">
      <alignment vertical="top"/>
    </xf>
    <xf numFmtId="0" applyNumberFormat="1" fontId="5" applyFont="1" fillId="0" applyFill="1" borderId="9" applyBorder="1" applyAlignment="1" xfId="0">
      <alignment vertical="top"/>
    </xf>
    <xf numFmtId="0" applyNumberFormat="1" fontId="5" applyFont="1" fillId="0" applyFill="1" borderId="10" applyBorder="1" applyAlignment="1" xfId="0">
      <alignment vertical="top"/>
    </xf>
    <xf numFmtId="0" applyNumberFormat="1" fontId="5" applyFont="1" fillId="0" applyFill="1" borderId="5" applyBorder="1" applyAlignment="1" xfId="0">
      <alignment vertical="top"/>
    </xf>
    <xf numFmtId="0" applyNumberFormat="1" fontId="3" applyFont="1" fillId="0" applyFill="1" borderId="1" applyBorder="1" applyAlignment="1" xfId="0">
      <alignment vertical="bottom"/>
    </xf>
    <xf numFmtId="0" applyNumberFormat="1" fontId="2" applyFont="1" fillId="0" applyFill="1" borderId="1" applyBorder="1" applyAlignment="1" xfId="0">
      <alignment vertical="bottom"/>
    </xf>
    <xf numFmtId="0" applyNumberFormat="1" fontId="6" applyFont="1" fillId="0" applyFill="1" borderId="1" applyBorder="1" applyAlignment="1" xfId="0">
      <alignment vertical="bottom"/>
    </xf>
    <xf numFmtId="0" applyNumberFormat="1" fontId="7" applyFont="1" fillId="0" applyFill="1" borderId="1" applyBorder="1" applyAlignment="1" xfId="0">
      <alignment vertical="bottom"/>
    </xf>
    <xf numFmtId="0" applyNumberFormat="1" fontId="8" applyFont="1" fillId="0" applyFill="1" borderId="1" applyBorder="1" applyAlignment="1" xfId="0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_rels/chart1.xml.rels><Relationships xmlns="http://schemas.openxmlformats.org/package/2006/relationships"><Relationship Id="rId1" Type="http://schemas.microsoft.com/office/2011/relationships/chartColorStyle" Target="colors1.xml"/><Relationship Id="rId2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depthPercent val="100"/>
      <c:rAngAx val="0"/>
    </c:view3D>
    <c:floor>
      <c:spPr>
        <a:noFill/>
        <a:ln>
          <a:noFill/>
        </a:ln>
      </c:spPr>
    </c:floor>
    <c:sideWall>
      <c:spPr>
        <a:noFill/>
        <a:ln>
          <a:noFill/>
        </a:ln>
      </c:spPr>
    </c:sideWall>
    <c:backWall>
      <c:spPr>
        <a:noFill/>
        <a:ln>
          <a:noFill/>
        </a:ln>
      </c:spPr>
    </c:backWall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accent4">
                  <a:shade val="41000"/>
                </a:schemeClr>
              </a:solidFill>
              <a:ln>
                <a:noFill/>
              </a:ln>
            </c:spPr>
          </c:dPt>
          <c:dPt>
            <c:idx val="1"/>
            <c:spPr>
              <a:solidFill>
                <a:schemeClr val="accent4">
                  <a:shade val="52000"/>
                </a:schemeClr>
              </a:solidFill>
              <a:ln>
                <a:noFill/>
              </a:ln>
            </c:spPr>
          </c:dPt>
          <c:dPt>
            <c:idx val="2"/>
            <c:spPr>
              <a:solidFill>
                <a:schemeClr val="accent4">
                  <a:shade val="62000"/>
                </a:schemeClr>
              </a:solidFill>
              <a:ln>
                <a:noFill/>
              </a:ln>
            </c:spPr>
          </c:dPt>
          <c:dPt>
            <c:idx val="3"/>
            <c:spPr>
              <a:solidFill>
                <a:schemeClr val="accent4">
                  <a:shade val="73000"/>
                </a:schemeClr>
              </a:solidFill>
              <a:ln>
                <a:noFill/>
              </a:ln>
            </c:spPr>
          </c:dPt>
          <c:dPt>
            <c:idx val="4"/>
            <c:spPr>
              <a:solidFill>
                <a:schemeClr val="accent4">
                  <a:shade val="84000"/>
                </a:schemeClr>
              </a:solidFill>
              <a:ln>
                <a:noFill/>
              </a:ln>
            </c:spPr>
          </c:dPt>
          <c:dPt>
            <c:idx val="5"/>
            <c:spPr>
              <a:solidFill>
                <a:schemeClr val="accent4">
                  <a:shade val="95000"/>
                </a:schemeClr>
              </a:solidFill>
              <a:ln>
                <a:noFill/>
              </a:ln>
            </c:spPr>
          </c:dPt>
          <c:dPt>
            <c:idx val="6"/>
            <c:spPr>
              <a:solidFill>
                <a:schemeClr val="accent4">
                  <a:tint val="95000"/>
                </a:schemeClr>
              </a:solidFill>
              <a:ln>
                <a:noFill/>
              </a:ln>
            </c:spPr>
          </c:dPt>
          <c:dPt>
            <c:idx val="7"/>
            <c:spPr>
              <a:solidFill>
                <a:schemeClr val="accent4">
                  <a:tint val="84000"/>
                </a:schemeClr>
              </a:solidFill>
              <a:ln>
                <a:noFill/>
              </a:ln>
            </c:spPr>
          </c:dPt>
          <c:dPt>
            <c:idx val="8"/>
            <c:spPr>
              <a:solidFill>
                <a:schemeClr val="accent4">
                  <a:tint val="73000"/>
                </a:schemeClr>
              </a:solidFill>
              <a:ln>
                <a:noFill/>
              </a:ln>
            </c:spPr>
          </c:dPt>
          <c:dPt>
            <c:idx val="9"/>
            <c:spPr>
              <a:solidFill>
                <a:schemeClr val="accent4">
                  <a:tint val="62000"/>
                </a:schemeClr>
              </a:solidFill>
              <a:ln>
                <a:noFill/>
              </a:ln>
            </c:spPr>
          </c:dPt>
          <c:dPt>
            <c:idx val="10"/>
            <c:spPr>
              <a:solidFill>
                <a:schemeClr val="accent4">
                  <a:tint val="52000"/>
                </a:schemeClr>
              </a:solidFill>
              <a:ln>
                <a:noFill/>
              </a:ln>
            </c:spPr>
          </c:dPt>
          <c:dPt>
            <c:idx val="11"/>
            <c:spPr>
              <a:solidFill>
                <a:schemeClr val="accent4">
                  <a:tint val="41000"/>
                </a:schemeClr>
              </a:solidFill>
              <a:ln>
                <a:noFill/>
              </a:ln>
            </c:spPr>
          </c:dPt>
          <c:cat>
            <c:strRef>
              <c:f>Sheet1!$B$2:$B$13</c:f>
              <c:strCache>
                <c:ptCount val="12"/>
                <c:pt idx="0">
                  <c:v>HD Webcams</c:v>
                </c:pt>
                <c:pt idx="1">
                  <c:v>RFID Scanners</c:v>
                </c:pt>
                <c:pt idx="2">
                  <c:v>Cloud Server Hosting</c:v>
                </c:pt>
                <c:pt idx="3">
                  <c:v>OCR Software License</c:v>
                </c:pt>
                <c:pt idx="4">
                  <c:v>Developer Honorarium</c:v>
                </c:pt>
                <c:pt idx="5">
                  <c:v>Librarian Training</c:v>
                </c:pt>
                <c:pt idx="6">
                  <c:v>High-Speed Router</c:v>
                </c:pt>
                <c:pt idx="7">
                  <c:v>Smart Cards</c:v>
                </c:pt>
                <c:pt idx="8">
                  <c:v>Display Screen</c:v>
                </c:pt>
                <c:pt idx="9">
                  <c:v>Poster Printing</c:v>
                </c:pt>
                <c:pt idx="10">
                  <c:v>Promotional Flyers</c:v>
                </c:pt>
                <c:pt idx="11">
                  <c:v>Backup Hard Drive</c:v>
                </c:pt>
              </c:strCache>
            </c:strRef>
          </c:cat>
          <c:val>
            <c:numRef>
              <c:f>Sheet1!$F$2:$F$13</c:f>
              <c:numCache>
                <c:formatCode>General</c:formatCode>
                <c:ptCount val="12"/>
                <c:pt idx="0" formatCode="General">
                  <c:v>16000</c:v>
                </c:pt>
                <c:pt idx="1" formatCode="General">
                  <c:v>20000</c:v>
                </c:pt>
                <c:pt idx="2" formatCode="General">
                  <c:v>25000</c:v>
                </c:pt>
                <c:pt idx="3" formatCode="General">
                  <c:v>12000</c:v>
                </c:pt>
                <c:pt idx="4" formatCode="General">
                  <c:v>80000</c:v>
                </c:pt>
                <c:pt idx="5" formatCode="General">
                  <c:v>30000</c:v>
                </c:pt>
                <c:pt idx="6" formatCode="General">
                  <c:v>13000</c:v>
                </c:pt>
                <c:pt idx="7" formatCode="General">
                  <c:v>75000</c:v>
                </c:pt>
                <c:pt idx="8" formatCode="General">
                  <c:v>20000</c:v>
                </c:pt>
                <c:pt idx="9" formatCode="General">
                  <c:v>8000</c:v>
                </c:pt>
                <c:pt idx="10" formatCode="General">
                  <c:v>16000</c:v>
                </c:pt>
                <c:pt idx="11" formatCode="General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2CA2C273-DB74-4504-8DFC-C662A4CD2250}"/>
            </c:ext>
          </c:extLst>
        </c:ser>
        <c:dLbls>
          <c:dLblPos val="outEnd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 prst="circle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7</xdr:col>
      <xdr:colOff>104775</xdr:colOff>
      <xdr:row>0</xdr:row>
      <xdr:rowOff>0</xdr:rowOff>
    </xdr:from>
    <xdr:to>
      <xdr:col>15</xdr:col>
      <xdr:colOff>104775</xdr:colOff>
      <xdr:row>14</xdr:row>
      <xdr:rowOff>190500</xdr:rowOff>
    </xdr:to>
    <xdr:graphicFrame>
      <xdr:nvGraphicFramePr>
        <xdr:cNvPr id="12" name=""/>
        <xdr:cNvGraphicFramePr/>
      </xdr:nvGraphicFramePr>
      <xdr:xfrm>
        <a:off x="5981700" y="0"/>
        <a:ext cx="487680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8" activeCellId="0" sqref="K8"/>
    </sheetView>
  </sheetViews>
  <sheetFormatPr defaultRowHeight="15" x14ac:dyDescent="0.25" outlineLevelRow="0" outlineLevelCol="0"/>
  <cols>
    <col min="1" max="1" width="22" customWidth="1" bestFit="1"/>
    <col min="2" max="2" width="18" customWidth="1" bestFit="1"/>
    <col min="3" max="3" width="8.7109375" customWidth="1" bestFit="1"/>
    <col min="4" max="4" width="10.85546875" customWidth="1" bestFit="1"/>
    <col min="5" max="5" width="7.7109375" customWidth="1" bestFit="1"/>
    <col min="6" max="6" width="11.5703125" customWidth="1" bestFit="1"/>
    <col min="7" max="7" width="9.28515625" customWidth="1"/>
  </cols>
  <sheetData>
    <row r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>
      <c r="A2" s="24" t="s">
        <v>7</v>
      </c>
      <c r="B2" s="24" t="s">
        <v>8</v>
      </c>
      <c r="C2" s="24" t="s">
        <v>9</v>
      </c>
      <c r="D2" s="24">
        <v>4000</v>
      </c>
      <c r="E2" s="24">
        <v>4</v>
      </c>
      <c r="F2" s="24">
        <f>D2*E2</f>
        <v>16000</v>
      </c>
      <c r="G2" s="24" t="s">
        <v>10</v>
      </c>
    </row>
    <row r="3">
      <c r="A3" s="24" t="s">
        <v>11</v>
      </c>
      <c r="B3" s="24" t="s">
        <v>12</v>
      </c>
      <c r="C3" s="24" t="s">
        <v>9</v>
      </c>
      <c r="D3" s="24">
        <v>10000</v>
      </c>
      <c r="E3" s="24">
        <v>2</v>
      </c>
      <c r="F3" s="24">
        <f>D3*E3</f>
        <v>20000</v>
      </c>
      <c r="G3" s="24" t="s">
        <v>10</v>
      </c>
    </row>
    <row r="4">
      <c r="A4" s="24" t="s">
        <v>13</v>
      </c>
      <c r="B4" s="24" t="s">
        <v>14</v>
      </c>
      <c r="C4" s="24" t="s">
        <v>15</v>
      </c>
      <c r="D4" s="24">
        <v>25000</v>
      </c>
      <c r="E4" s="24">
        <v>1</v>
      </c>
      <c r="F4" s="24">
        <f>D4*E4</f>
        <v>25000</v>
      </c>
      <c r="G4" s="24" t="s">
        <v>10</v>
      </c>
    </row>
    <row r="5">
      <c r="A5" s="24" t="s">
        <v>16</v>
      </c>
      <c r="B5" s="24" t="s">
        <v>17</v>
      </c>
      <c r="C5" s="24" t="s">
        <v>15</v>
      </c>
      <c r="D5" s="24">
        <v>12000</v>
      </c>
      <c r="E5" s="24">
        <v>1</v>
      </c>
      <c r="F5" s="24">
        <f>D5*E5</f>
        <v>12000</v>
      </c>
      <c r="G5" s="24" t="s">
        <v>18</v>
      </c>
    </row>
    <row r="6">
      <c r="A6" s="24" t="s">
        <v>19</v>
      </c>
      <c r="B6" s="24" t="s">
        <v>20</v>
      </c>
      <c r="C6" s="24" t="s">
        <v>21</v>
      </c>
      <c r="D6" s="24">
        <v>80000</v>
      </c>
      <c r="E6" s="24">
        <v>1</v>
      </c>
      <c r="F6" s="24">
        <f>D6*E6</f>
        <v>80000</v>
      </c>
      <c r="G6" s="24" t="s">
        <v>10</v>
      </c>
    </row>
    <row r="7">
      <c r="A7" s="24" t="s">
        <v>22</v>
      </c>
      <c r="B7" s="24" t="s">
        <v>23</v>
      </c>
      <c r="C7" s="24" t="s">
        <v>21</v>
      </c>
      <c r="D7" s="24">
        <v>15000</v>
      </c>
      <c r="E7" s="24">
        <v>2</v>
      </c>
      <c r="F7" s="24">
        <f>D7*E7</f>
        <v>30000</v>
      </c>
      <c r="G7" s="24" t="s">
        <v>10</v>
      </c>
    </row>
    <row r="8">
      <c r="A8" s="24" t="s">
        <v>24</v>
      </c>
      <c r="B8" s="24" t="s">
        <v>25</v>
      </c>
      <c r="C8" s="24" t="s">
        <v>9</v>
      </c>
      <c r="D8" s="24">
        <v>6500</v>
      </c>
      <c r="E8" s="24">
        <v>2</v>
      </c>
      <c r="F8" s="24">
        <f>D8*E8</f>
        <v>13000</v>
      </c>
      <c r="G8" s="24" t="s">
        <v>10</v>
      </c>
    </row>
    <row r="9">
      <c r="A9" s="24" t="s">
        <v>26</v>
      </c>
      <c r="B9" s="24" t="s">
        <v>27</v>
      </c>
      <c r="C9" s="24" t="s">
        <v>28</v>
      </c>
      <c r="D9" s="24">
        <v>150</v>
      </c>
      <c r="E9" s="24">
        <v>500</v>
      </c>
      <c r="F9" s="24">
        <f>D9*E9</f>
        <v>75000</v>
      </c>
      <c r="G9" s="24" t="s">
        <v>10</v>
      </c>
    </row>
    <row r="10">
      <c r="A10" s="24" t="s">
        <v>29</v>
      </c>
      <c r="B10" s="24" t="s">
        <v>30</v>
      </c>
      <c r="C10" s="24" t="s">
        <v>9</v>
      </c>
      <c r="D10" s="24">
        <v>20000</v>
      </c>
      <c r="E10" s="24">
        <v>1</v>
      </c>
      <c r="F10" s="24">
        <f>D10*E10</f>
        <v>20000</v>
      </c>
      <c r="G10" s="24" t="s">
        <v>18</v>
      </c>
    </row>
    <row r="11">
      <c r="A11" s="24" t="s">
        <v>31</v>
      </c>
      <c r="B11" s="24" t="s">
        <v>32</v>
      </c>
      <c r="C11" s="24" t="s">
        <v>33</v>
      </c>
      <c r="D11" s="24">
        <v>400</v>
      </c>
      <c r="E11" s="24">
        <v>20</v>
      </c>
      <c r="F11" s="24">
        <f>D11*E11</f>
        <v>8000</v>
      </c>
      <c r="G11" s="24" t="s">
        <v>10</v>
      </c>
    </row>
    <row r="12">
      <c r="A12" s="24" t="s">
        <v>34</v>
      </c>
      <c r="B12" s="24" t="s">
        <v>35</v>
      </c>
      <c r="C12" s="24" t="s">
        <v>33</v>
      </c>
      <c r="D12" s="24">
        <v>80</v>
      </c>
      <c r="E12" s="24">
        <v>200</v>
      </c>
      <c r="F12" s="24">
        <f>D12*E12</f>
        <v>16000</v>
      </c>
      <c r="G12" s="24" t="s">
        <v>10</v>
      </c>
    </row>
    <row r="13">
      <c r="A13" s="24" t="s">
        <v>36</v>
      </c>
      <c r="B13" s="24" t="s">
        <v>37</v>
      </c>
      <c r="C13" s="24" t="s">
        <v>9</v>
      </c>
      <c r="D13" s="24">
        <v>7500</v>
      </c>
      <c r="E13" s="24">
        <v>2</v>
      </c>
      <c r="F13" s="24">
        <f>D13*E13</f>
        <v>15000</v>
      </c>
      <c r="G13" s="24" t="s">
        <v>10</v>
      </c>
    </row>
    <row r="15">
      <c r="A15" s="27" t="s">
        <v>41</v>
      </c>
      <c r="B15" s="29">
        <f>SUM(F2:F13)</f>
        <v>330000</v>
      </c>
    </row>
    <row r="16">
      <c r="A16" s="26" t="s">
        <v>40</v>
      </c>
      <c r="B16" s="29">
        <f>AVERAGE(F2:F13)</f>
        <v>27500</v>
      </c>
    </row>
    <row r="17">
      <c r="A17" s="26" t="s">
        <v>42</v>
      </c>
      <c r="B17" s="29">
        <f>MAX(F2:F13)</f>
        <v>80000</v>
      </c>
    </row>
    <row r="18">
      <c r="A18" s="26" t="s">
        <v>43</v>
      </c>
      <c r="B18" s="29">
        <f>MIN(F2:F13)</f>
        <v>8000</v>
      </c>
    </row>
    <row r="19">
      <c r="A19" s="26" t="s">
        <v>44</v>
      </c>
      <c r="B19" s="29" t="str">
        <f>IF(F2&gt;30000, "High Expense", "Normal")</f>
        <v>Normal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Lavish sharma pro</dc:creator>
  <cp:lastModifiedBy>Lavish sharma pro</cp:lastModifiedBy>
  <dcterms:created xsi:type="dcterms:W3CDTF">2026-09-27T10:02:10Z</dcterms:created>
  <dcterms:modified xsi:type="dcterms:W3CDTF">2026-09-27T10:09:10Z</dcterms:modified>
</cp:coreProperties>
</file>